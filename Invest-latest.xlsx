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h\OneDrive\Desktop\"/>
    </mc:Choice>
  </mc:AlternateContent>
  <xr:revisionPtr revIDLastSave="0" documentId="13_ncr:1_{2E05A3B9-4CBA-4756-86F1-039FCB3ABCAD}" xr6:coauthVersionLast="47" xr6:coauthVersionMax="47" xr10:uidLastSave="{00000000-0000-0000-0000-000000000000}"/>
  <bookViews>
    <workbookView xWindow="-108" yWindow="-108" windowWidth="23256" windowHeight="12456" activeTab="1" xr2:uid="{FCFC2A0B-0B8A-4A10-BD32-C20C9E669E7A}"/>
  </bookViews>
  <sheets>
    <sheet name="OverAll" sheetId="1" r:id="rId1"/>
    <sheet name="Sheet1" sheetId="6" r:id="rId2"/>
    <sheet name="Amma" sheetId="4" r:id="rId3"/>
    <sheet name="MIS" sheetId="2" r:id="rId4"/>
    <sheet name="Plan" sheetId="3" r:id="rId5"/>
    <sheet name="Sheet2" sheetId="5" r:id="rId6"/>
  </sheets>
  <definedNames>
    <definedName name="_xlnm._FilterDatabase" localSheetId="0" hidden="1">OverAll!$A$1:$H$25</definedName>
    <definedName name="_xlnm._FilterDatabase" localSheetId="1" hidden="1">Sheet1!$A$1:$H$37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1" l="1"/>
</calcChain>
</file>

<file path=xl/sharedStrings.xml><?xml version="1.0" encoding="utf-8"?>
<sst xmlns="http://schemas.openxmlformats.org/spreadsheetml/2006/main" count="276" uniqueCount="57">
  <si>
    <t>S.No</t>
  </si>
  <si>
    <t>Account Type</t>
  </si>
  <si>
    <t>Invest Amount</t>
  </si>
  <si>
    <t>Maturity Date</t>
  </si>
  <si>
    <t>Investment Date</t>
  </si>
  <si>
    <t>Interest Amount</t>
  </si>
  <si>
    <t>TD</t>
  </si>
  <si>
    <t>KVP</t>
  </si>
  <si>
    <t>NSC</t>
  </si>
  <si>
    <t>MIS</t>
  </si>
  <si>
    <t>Maturity</t>
  </si>
  <si>
    <t>Bond</t>
  </si>
  <si>
    <t>Canara Bank</t>
  </si>
  <si>
    <t>PF</t>
  </si>
  <si>
    <t>HDFC</t>
  </si>
  <si>
    <t>Org</t>
  </si>
  <si>
    <t>Amount</t>
  </si>
  <si>
    <t>TD-Postoffice</t>
  </si>
  <si>
    <t>Bond-HDFC</t>
  </si>
  <si>
    <t>KVP-PostOffice</t>
  </si>
  <si>
    <t>PPF-SBI</t>
  </si>
  <si>
    <t>Total</t>
  </si>
  <si>
    <t>Month</t>
  </si>
  <si>
    <t>Income Mode</t>
  </si>
  <si>
    <t>Amout</t>
  </si>
  <si>
    <t>Jan</t>
  </si>
  <si>
    <t>FEB</t>
  </si>
  <si>
    <t>Mar</t>
  </si>
  <si>
    <t>TD1</t>
  </si>
  <si>
    <t>TD2</t>
  </si>
  <si>
    <t>TD3</t>
  </si>
  <si>
    <t>TD4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</si>
  <si>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</si>
  <si>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</si>
  <si>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</si>
  <si>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</si>
  <si>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</si>
  <si>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</si>
  <si>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</si>
  <si>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</si>
  <si>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</si>
  <si>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Task</t>
  </si>
  <si>
    <t>Make Canara total as 10L</t>
  </si>
  <si>
    <t>Income</t>
  </si>
  <si>
    <t>As on 01-06-2025</t>
  </si>
  <si>
    <t>Invest 7.5L in TD</t>
  </si>
  <si>
    <t>generate PPF interest</t>
  </si>
  <si>
    <t>Verified</t>
  </si>
  <si>
    <t>Yes</t>
  </si>
  <si>
    <t>SCSS</t>
  </si>
  <si>
    <t xml:space="preserve">Card </t>
  </si>
  <si>
    <t>Lic</t>
  </si>
  <si>
    <t>Allen</t>
  </si>
  <si>
    <t>Home Loan</t>
  </si>
  <si>
    <t>Home</t>
  </si>
  <si>
    <t>Can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</si>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</sst>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3" borderId="1" xfId="0" applyFill="1" applyBorder="1"/>
    <xf numFmtId="0" fontId="1" fillId="4" borderId="1" xfId="0" applyFont="1" applyFill="1" applyBorder="1"/>
    <xf numFmtId="0" fontId="0" fillId="2" borderId="0" xfId="0" applyFill="1"/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3" xfId="0" applyFont="1" applyFill="1" applyBorder="1"/>
    <xf numFmtId="14" fontId="0" fillId="0" borderId="0" xfId="0" applyNumberFormat="1"/>
    <xf numFmtId="0" fontId="0" fillId="3" borderId="3" xfId="0" applyFill="1" applyBorder="1"/>
    <xf numFmtId="0" fontId="0" fillId="0" borderId="3" xfId="0" applyBorder="1" applyAlignment="1">
      <alignment horizontal="center"/>
    </xf>
    <xf numFmtId="0" fontId="0" fillId="2" borderId="1" xfId="0" applyFill="1" applyBorder="1"/>
    <xf numFmtId="0" fontId="0" fillId="5" borderId="0" xfId="0" applyFill="1"/>
    <xf numFmtId="0" fontId="0" fillId="2" borderId="3" xfId="0" applyFill="1" applyBorder="1"/>
    <xf numFmtId="0" fontId="2" fillId="2" borderId="1" xfId="0" applyFont="1" applyFill="1" applyBorder="1"/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7F08-98A0-44A7-90B2-A188D74BE7D5}">
  <dimension ref="A1:I58"/>
  <sheetViews>
    <sheetView topLeftCell="A6" workbookViewId="0">
      <selection activeCell="C2" sqref="C2:C31"/>
    </sheetView>
  </sheetViews>
  <sheetFormatPr defaultRowHeight="14.4" x14ac:dyDescent="0.3"/>
  <cols>
    <col min="2" max="2" width="12" bestFit="1" customWidth="1"/>
    <col min="3" max="3" width="12.77734375" bestFit="1" customWidth="1"/>
    <col min="4" max="4" width="12.77734375" customWidth="1"/>
    <col min="5" max="5" width="14.5546875" bestFit="1" customWidth="1"/>
    <col min="6" max="6" width="12.33203125" bestFit="1" customWidth="1"/>
    <col min="7" max="7" width="14.33203125" bestFit="1" customWidth="1"/>
    <col min="10" max="10" width="17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5" t="s">
        <v>47</v>
      </c>
    </row>
    <row r="2" spans="1:9" x14ac:dyDescent="0.3">
      <c r="A2" s="2">
        <v>1</v>
      </c>
      <c r="B2" s="14" t="s">
        <v>6</v>
      </c>
      <c r="C2" s="4">
        <v>400000</v>
      </c>
      <c r="D2" s="4">
        <v>400000</v>
      </c>
      <c r="E2" s="3">
        <v>45731</v>
      </c>
      <c r="F2" s="3">
        <v>47557</v>
      </c>
      <c r="G2" s="7">
        <v>30854</v>
      </c>
      <c r="H2" s="17" t="s">
        <v>48</v>
      </c>
    </row>
    <row r="3" spans="1:9" x14ac:dyDescent="0.3">
      <c r="A3" s="2">
        <v>2</v>
      </c>
      <c r="B3" s="14" t="s">
        <v>6</v>
      </c>
      <c r="C3" s="4">
        <v>660000</v>
      </c>
      <c r="D3" s="4">
        <v>660000</v>
      </c>
      <c r="E3" s="3">
        <v>45127</v>
      </c>
      <c r="F3" s="3">
        <v>46954</v>
      </c>
      <c r="G3" s="8">
        <v>50909</v>
      </c>
      <c r="H3" s="17" t="s">
        <v>48</v>
      </c>
    </row>
    <row r="4" spans="1:9" x14ac:dyDescent="0.3">
      <c r="A4" s="2">
        <v>3</v>
      </c>
      <c r="B4" s="14" t="s">
        <v>6</v>
      </c>
      <c r="C4" s="4">
        <v>150000</v>
      </c>
      <c r="D4" s="4">
        <v>150000</v>
      </c>
      <c r="E4" s="3">
        <v>44667</v>
      </c>
      <c r="F4" s="3">
        <v>46493</v>
      </c>
      <c r="G4" s="8">
        <v>10300</v>
      </c>
      <c r="H4" s="14" t="s">
        <v>48</v>
      </c>
    </row>
    <row r="5" spans="1:9" x14ac:dyDescent="0.3">
      <c r="A5" s="2">
        <v>4</v>
      </c>
      <c r="B5" s="14" t="s">
        <v>6</v>
      </c>
      <c r="C5" s="4">
        <v>400000</v>
      </c>
      <c r="D5" s="4">
        <v>400000</v>
      </c>
      <c r="E5" s="3">
        <v>45374</v>
      </c>
      <c r="F5" s="3">
        <v>47200</v>
      </c>
      <c r="G5" s="7">
        <v>30854</v>
      </c>
      <c r="H5" s="17" t="s">
        <v>48</v>
      </c>
    </row>
    <row r="6" spans="1:9" x14ac:dyDescent="0.3">
      <c r="A6" s="2">
        <v>5</v>
      </c>
      <c r="B6" s="14" t="s">
        <v>6</v>
      </c>
      <c r="C6" s="4">
        <v>150000</v>
      </c>
      <c r="D6" s="4">
        <v>150000</v>
      </c>
      <c r="E6" s="3">
        <v>44277</v>
      </c>
      <c r="F6" s="3">
        <v>46103</v>
      </c>
      <c r="G6" s="7">
        <v>6870</v>
      </c>
      <c r="H6" s="17" t="s">
        <v>48</v>
      </c>
      <c r="I6" s="15"/>
    </row>
    <row r="7" spans="1:9" x14ac:dyDescent="0.3">
      <c r="A7" s="2">
        <v>6</v>
      </c>
      <c r="B7" s="14" t="s">
        <v>6</v>
      </c>
      <c r="C7" s="4">
        <v>1000000</v>
      </c>
      <c r="D7" s="4">
        <v>1000000</v>
      </c>
      <c r="E7" s="3">
        <v>44267</v>
      </c>
      <c r="F7" s="3">
        <v>46093</v>
      </c>
      <c r="G7" s="7">
        <v>68000</v>
      </c>
      <c r="H7" s="17" t="s">
        <v>48</v>
      </c>
      <c r="I7" s="15"/>
    </row>
    <row r="8" spans="1:9" x14ac:dyDescent="0.3">
      <c r="A8" s="2">
        <v>7</v>
      </c>
      <c r="B8" s="14" t="s">
        <v>6</v>
      </c>
      <c r="C8" s="4">
        <v>540000</v>
      </c>
      <c r="D8" s="4">
        <v>540000</v>
      </c>
      <c r="E8" s="3">
        <v>46041</v>
      </c>
      <c r="F8" s="3">
        <v>47867</v>
      </c>
      <c r="G8" s="7">
        <v>41563</v>
      </c>
      <c r="H8" s="17" t="s">
        <v>48</v>
      </c>
    </row>
    <row r="9" spans="1:9" x14ac:dyDescent="0.3">
      <c r="A9" s="2">
        <v>8</v>
      </c>
      <c r="B9" s="14" t="s">
        <v>6</v>
      </c>
      <c r="C9" s="4">
        <v>150000</v>
      </c>
      <c r="D9" s="4">
        <v>150000</v>
      </c>
      <c r="E9" s="3">
        <v>45787</v>
      </c>
      <c r="F9" s="3">
        <v>47615</v>
      </c>
      <c r="G9" s="8">
        <v>11570</v>
      </c>
      <c r="H9" s="17" t="s">
        <v>48</v>
      </c>
    </row>
    <row r="10" spans="1:9" x14ac:dyDescent="0.3">
      <c r="A10" s="2">
        <v>9</v>
      </c>
      <c r="B10" s="14" t="s">
        <v>6</v>
      </c>
      <c r="C10" s="4">
        <v>300000</v>
      </c>
      <c r="D10" s="4">
        <v>300000</v>
      </c>
      <c r="E10" s="3">
        <v>45804</v>
      </c>
      <c r="F10" s="3">
        <v>47630</v>
      </c>
      <c r="G10" s="8">
        <v>23140</v>
      </c>
      <c r="H10" s="17" t="s">
        <v>48</v>
      </c>
    </row>
    <row r="11" spans="1:9" x14ac:dyDescent="0.3">
      <c r="A11" s="2">
        <v>10</v>
      </c>
      <c r="B11" s="14" t="s">
        <v>6</v>
      </c>
      <c r="C11" s="4">
        <v>118000</v>
      </c>
      <c r="D11" s="4">
        <v>118000</v>
      </c>
      <c r="E11" s="3">
        <v>45823</v>
      </c>
      <c r="F11" s="3">
        <v>47649</v>
      </c>
      <c r="G11" s="8">
        <v>9102</v>
      </c>
      <c r="H11" s="17" t="s">
        <v>48</v>
      </c>
    </row>
    <row r="12" spans="1:9" x14ac:dyDescent="0.3">
      <c r="A12" s="2">
        <v>11</v>
      </c>
      <c r="B12" s="14" t="s">
        <v>6</v>
      </c>
      <c r="C12" s="4">
        <v>650000</v>
      </c>
      <c r="D12" s="4">
        <v>650000</v>
      </c>
      <c r="E12" s="3">
        <v>45835</v>
      </c>
      <c r="F12" s="3">
        <v>47661</v>
      </c>
      <c r="G12" s="9">
        <v>50138</v>
      </c>
      <c r="H12" s="17" t="s">
        <v>48</v>
      </c>
    </row>
    <row r="13" spans="1:9" x14ac:dyDescent="0.3">
      <c r="A13" s="2">
        <v>12</v>
      </c>
      <c r="B13" s="14" t="s">
        <v>6</v>
      </c>
      <c r="C13" s="4">
        <v>135000</v>
      </c>
      <c r="D13" s="4">
        <v>135000</v>
      </c>
      <c r="E13" s="3">
        <v>45846</v>
      </c>
      <c r="F13" s="3">
        <v>47672</v>
      </c>
      <c r="G13" s="9">
        <v>10413</v>
      </c>
      <c r="H13" s="17" t="s">
        <v>48</v>
      </c>
    </row>
    <row r="14" spans="1:9" x14ac:dyDescent="0.3">
      <c r="A14" s="2">
        <v>13</v>
      </c>
      <c r="B14" s="14" t="s">
        <v>6</v>
      </c>
      <c r="C14" s="4">
        <v>100000</v>
      </c>
      <c r="D14" s="4">
        <v>100000</v>
      </c>
      <c r="E14" s="3">
        <v>45492</v>
      </c>
      <c r="F14" s="3">
        <v>45492</v>
      </c>
      <c r="G14" s="9">
        <v>10413</v>
      </c>
      <c r="H14" s="14" t="s">
        <v>48</v>
      </c>
    </row>
    <row r="15" spans="1:9" x14ac:dyDescent="0.3">
      <c r="A15" s="2">
        <v>14</v>
      </c>
      <c r="B15" s="14" t="s">
        <v>9</v>
      </c>
      <c r="C15" s="4">
        <v>900000</v>
      </c>
      <c r="D15" s="4">
        <v>900000</v>
      </c>
      <c r="E15" s="3">
        <v>45114</v>
      </c>
      <c r="F15" s="3">
        <v>46941</v>
      </c>
      <c r="G15" s="8">
        <v>66000</v>
      </c>
      <c r="H15" s="14" t="s">
        <v>48</v>
      </c>
    </row>
    <row r="16" spans="1:9" x14ac:dyDescent="0.3">
      <c r="A16" s="2">
        <v>15</v>
      </c>
      <c r="B16" s="1" t="s">
        <v>11</v>
      </c>
      <c r="C16" s="4">
        <v>1800000</v>
      </c>
      <c r="D16" s="4">
        <v>1800000</v>
      </c>
      <c r="E16" s="1"/>
      <c r="F16" s="1"/>
      <c r="G16" s="8">
        <v>100000</v>
      </c>
      <c r="H16" s="14" t="s">
        <v>48</v>
      </c>
    </row>
    <row r="17" spans="1:8" x14ac:dyDescent="0.3">
      <c r="A17" s="2">
        <v>16</v>
      </c>
      <c r="B17" s="14" t="s">
        <v>7</v>
      </c>
      <c r="C17" s="4">
        <v>500000</v>
      </c>
      <c r="D17" s="4">
        <v>1000000</v>
      </c>
      <c r="E17" s="3">
        <v>44267</v>
      </c>
      <c r="F17" s="3">
        <v>48041</v>
      </c>
      <c r="G17" s="8"/>
      <c r="H17" s="14" t="s">
        <v>48</v>
      </c>
    </row>
    <row r="18" spans="1:8" x14ac:dyDescent="0.3">
      <c r="A18" s="2">
        <v>17</v>
      </c>
      <c r="B18" s="14" t="s">
        <v>7</v>
      </c>
      <c r="C18" s="4">
        <v>500000</v>
      </c>
      <c r="D18" s="4">
        <v>1000000</v>
      </c>
      <c r="E18" s="3">
        <v>44267</v>
      </c>
      <c r="F18" s="3">
        <v>48041</v>
      </c>
      <c r="G18" s="8"/>
      <c r="H18" s="14" t="s">
        <v>48</v>
      </c>
    </row>
    <row r="19" spans="1:8" x14ac:dyDescent="0.3">
      <c r="A19" s="2">
        <v>19</v>
      </c>
      <c r="B19" s="1" t="s">
        <v>12</v>
      </c>
      <c r="C19" s="4">
        <v>128000</v>
      </c>
      <c r="D19" s="4">
        <v>128000</v>
      </c>
      <c r="E19" s="1"/>
      <c r="F19" s="3">
        <v>46034</v>
      </c>
      <c r="G19" s="19"/>
      <c r="H19" s="1" t="s">
        <v>48</v>
      </c>
    </row>
    <row r="20" spans="1:8" x14ac:dyDescent="0.3">
      <c r="A20" s="2">
        <v>20</v>
      </c>
      <c r="B20" s="1" t="s">
        <v>12</v>
      </c>
      <c r="C20" s="4">
        <v>267000</v>
      </c>
      <c r="D20" s="4">
        <v>267000</v>
      </c>
      <c r="E20" s="1"/>
      <c r="F20" s="3">
        <v>46004</v>
      </c>
      <c r="G20" s="19"/>
      <c r="H20" s="1" t="s">
        <v>48</v>
      </c>
    </row>
    <row r="21" spans="1:8" x14ac:dyDescent="0.3">
      <c r="A21" s="2">
        <v>21</v>
      </c>
      <c r="B21" s="1" t="s">
        <v>12</v>
      </c>
      <c r="C21" s="4">
        <v>645000</v>
      </c>
      <c r="D21" s="4">
        <v>645245</v>
      </c>
      <c r="E21" s="1"/>
      <c r="F21" s="3">
        <v>45822</v>
      </c>
      <c r="G21" s="19"/>
      <c r="H21" s="1" t="s">
        <v>48</v>
      </c>
    </row>
    <row r="22" spans="1:8" x14ac:dyDescent="0.3">
      <c r="A22" s="2">
        <v>23</v>
      </c>
      <c r="B22" s="1" t="s">
        <v>13</v>
      </c>
      <c r="C22" s="4">
        <v>1800000</v>
      </c>
      <c r="D22" s="4">
        <v>1800000</v>
      </c>
      <c r="E22" s="1"/>
      <c r="F22" s="3">
        <v>46023</v>
      </c>
      <c r="G22" s="8">
        <v>70000</v>
      </c>
      <c r="H22" s="1" t="s">
        <v>48</v>
      </c>
    </row>
    <row r="23" spans="1:8" x14ac:dyDescent="0.3">
      <c r="A23" s="2">
        <v>26</v>
      </c>
      <c r="B23" s="14" t="s">
        <v>8</v>
      </c>
      <c r="C23" s="4">
        <v>150000</v>
      </c>
      <c r="D23" s="4">
        <v>217355</v>
      </c>
      <c r="E23" s="1"/>
      <c r="F23" s="3">
        <v>47846</v>
      </c>
      <c r="G23" s="1"/>
      <c r="H23" s="14" t="s">
        <v>48</v>
      </c>
    </row>
    <row r="24" spans="1:8" x14ac:dyDescent="0.3">
      <c r="A24" s="13">
        <v>27</v>
      </c>
      <c r="B24" s="16" t="s">
        <v>8</v>
      </c>
      <c r="C24" s="4">
        <v>30000</v>
      </c>
      <c r="D24" s="12">
        <v>43471</v>
      </c>
      <c r="F24" s="11">
        <v>47851</v>
      </c>
      <c r="H24" s="16" t="s">
        <v>48</v>
      </c>
    </row>
    <row r="25" spans="1:8" x14ac:dyDescent="0.3">
      <c r="A25" s="13">
        <v>28</v>
      </c>
      <c r="B25" s="16" t="s">
        <v>8</v>
      </c>
      <c r="C25" s="12">
        <v>40000</v>
      </c>
      <c r="D25" s="12">
        <v>57961</v>
      </c>
      <c r="E25" s="11">
        <v>46053</v>
      </c>
      <c r="F25" s="11">
        <v>47879</v>
      </c>
      <c r="H25" s="16" t="s">
        <v>48</v>
      </c>
    </row>
    <row r="26" spans="1:8" x14ac:dyDescent="0.3">
      <c r="A26" s="13">
        <v>29</v>
      </c>
      <c r="B26" s="16" t="s">
        <v>6</v>
      </c>
      <c r="C26" s="12">
        <v>200000</v>
      </c>
      <c r="D26" s="12">
        <v>200000</v>
      </c>
      <c r="E26" s="11">
        <v>46116</v>
      </c>
      <c r="F26" s="11">
        <v>47942</v>
      </c>
      <c r="G26">
        <v>15427</v>
      </c>
      <c r="H26" s="16" t="s">
        <v>48</v>
      </c>
    </row>
    <row r="27" spans="1:8" x14ac:dyDescent="0.3">
      <c r="A27" s="13">
        <v>30</v>
      </c>
      <c r="B27" s="16" t="s">
        <v>6</v>
      </c>
      <c r="C27" s="12">
        <v>450000</v>
      </c>
      <c r="D27" s="12">
        <v>450000</v>
      </c>
      <c r="E27" s="11">
        <v>46116</v>
      </c>
      <c r="F27" s="11">
        <v>47942</v>
      </c>
      <c r="G27">
        <v>34711</v>
      </c>
      <c r="H27" s="16" t="s">
        <v>48</v>
      </c>
    </row>
    <row r="28" spans="1:8" x14ac:dyDescent="0.3">
      <c r="A28" s="13">
        <v>31</v>
      </c>
      <c r="B28" s="16" t="s">
        <v>6</v>
      </c>
      <c r="C28" s="12">
        <v>450000</v>
      </c>
      <c r="D28" s="12">
        <v>450000</v>
      </c>
      <c r="E28" s="11">
        <v>46116</v>
      </c>
      <c r="F28" s="11">
        <v>47942</v>
      </c>
      <c r="G28">
        <v>34711</v>
      </c>
      <c r="H28" s="16" t="s">
        <v>48</v>
      </c>
    </row>
    <row r="29" spans="1:8" x14ac:dyDescent="0.3">
      <c r="A29" s="13">
        <v>32</v>
      </c>
      <c r="B29" s="16" t="s">
        <v>6</v>
      </c>
      <c r="C29" s="12">
        <v>450000</v>
      </c>
      <c r="D29" s="12">
        <v>450000</v>
      </c>
      <c r="E29" s="11">
        <v>46116</v>
      </c>
      <c r="F29" s="11">
        <v>47942</v>
      </c>
      <c r="G29">
        <v>34711</v>
      </c>
      <c r="H29" s="16" t="s">
        <v>48</v>
      </c>
    </row>
    <row r="30" spans="1:8" x14ac:dyDescent="0.3">
      <c r="A30" s="13">
        <v>33</v>
      </c>
      <c r="B30" s="16" t="s">
        <v>6</v>
      </c>
      <c r="C30" s="12">
        <v>450000</v>
      </c>
      <c r="D30" s="12">
        <v>450000</v>
      </c>
      <c r="E30" s="11">
        <v>46116</v>
      </c>
      <c r="F30" s="11">
        <v>47942</v>
      </c>
      <c r="G30">
        <v>34711</v>
      </c>
      <c r="H30" s="16" t="s">
        <v>48</v>
      </c>
    </row>
    <row r="31" spans="1:8" x14ac:dyDescent="0.3">
      <c r="A31" s="13">
        <v>34</v>
      </c>
      <c r="B31" s="16" t="s">
        <v>6</v>
      </c>
      <c r="C31" s="12">
        <v>150000</v>
      </c>
      <c r="D31" s="12">
        <v>150000</v>
      </c>
      <c r="E31" s="11">
        <v>46107</v>
      </c>
      <c r="F31" s="11">
        <v>47933</v>
      </c>
      <c r="G31">
        <v>11570</v>
      </c>
      <c r="H31" s="16" t="s">
        <v>48</v>
      </c>
    </row>
    <row r="47" spans="1:2" x14ac:dyDescent="0.3">
      <c r="A47" s="20" t="s">
        <v>44</v>
      </c>
      <c r="B47" s="20"/>
    </row>
    <row r="48" spans="1:2" x14ac:dyDescent="0.3">
      <c r="A48" s="5" t="s">
        <v>15</v>
      </c>
      <c r="B48" s="5" t="s">
        <v>16</v>
      </c>
    </row>
    <row r="49" spans="1:2" x14ac:dyDescent="0.3">
      <c r="A49" s="1" t="s">
        <v>17</v>
      </c>
      <c r="B49" s="1">
        <v>3778000</v>
      </c>
    </row>
    <row r="50" spans="1:2" x14ac:dyDescent="0.3">
      <c r="A50" s="1" t="s">
        <v>9</v>
      </c>
      <c r="B50" s="1">
        <v>900000</v>
      </c>
    </row>
    <row r="51" spans="1:2" x14ac:dyDescent="0.3">
      <c r="A51" s="1" t="s">
        <v>18</v>
      </c>
      <c r="B51" s="1">
        <v>1800000</v>
      </c>
    </row>
    <row r="52" spans="1:2" x14ac:dyDescent="0.3">
      <c r="A52" s="1" t="s">
        <v>19</v>
      </c>
      <c r="B52" s="1">
        <v>1000000</v>
      </c>
    </row>
    <row r="53" spans="1:2" x14ac:dyDescent="0.3">
      <c r="A53" s="1" t="s">
        <v>12</v>
      </c>
      <c r="B53" s="1">
        <v>890000</v>
      </c>
    </row>
    <row r="54" spans="1:2" x14ac:dyDescent="0.3">
      <c r="A54" s="1" t="s">
        <v>20</v>
      </c>
      <c r="B54" s="1">
        <v>1659000</v>
      </c>
    </row>
    <row r="55" spans="1:2" x14ac:dyDescent="0.3">
      <c r="A55" s="1" t="s">
        <v>13</v>
      </c>
      <c r="B55" s="1">
        <v>1000000</v>
      </c>
    </row>
    <row r="56" spans="1:2" x14ac:dyDescent="0.3">
      <c r="A56" s="1" t="s">
        <v>14</v>
      </c>
      <c r="B56" s="1">
        <v>0</v>
      </c>
    </row>
    <row r="57" spans="1:2" x14ac:dyDescent="0.3">
      <c r="A57" s="1" t="s">
        <v>8</v>
      </c>
      <c r="B57" s="1">
        <v>183413</v>
      </c>
    </row>
    <row r="58" spans="1:2" x14ac:dyDescent="0.3">
      <c r="A58" s="1" t="s">
        <v>21</v>
      </c>
      <c r="B58" s="1">
        <f>SUM(B49:B57)</f>
        <v>11210413</v>
      </c>
    </row>
  </sheetData>
  <mergeCells count="2">
    <mergeCell ref="G19:G21"/>
    <mergeCell ref="A47:B4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67BF-7EC6-4C3B-8BB9-DEE7CB16D938}">
  <dimension ref="A1:H37"/>
  <sheetViews>
    <sheetView tabSelected="1" workbookViewId="0">
      <selection activeCell="C2" sqref="C2"/>
    </sheetView>
  </sheetViews>
  <sheetFormatPr defaultRowHeight="14.4" x14ac:dyDescent="0.3"/>
  <cols>
    <col min="2" max="2" width="12.5546875" bestFit="1" customWidth="1"/>
    <col min="3" max="3" width="10.33203125" bestFit="1" customWidth="1"/>
    <col min="5" max="5" width="20.77734375" customWidth="1"/>
    <col min="6" max="6" width="26.33203125" customWidth="1"/>
    <col min="7" max="7" width="15.88671875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5" t="s">
        <v>47</v>
      </c>
    </row>
    <row r="2" spans="1:8" x14ac:dyDescent="0.3">
      <c r="A2" s="2">
        <v>1</v>
      </c>
      <c r="B2" s="1" t="s">
        <v>11</v>
      </c>
      <c r="C2" s="4">
        <v>1800000</v>
      </c>
      <c r="D2" s="4">
        <v>1800000</v>
      </c>
      <c r="E2" s="1"/>
      <c r="F2" s="1"/>
      <c r="G2" s="8">
        <v>100000</v>
      </c>
      <c r="H2" s="14" t="s">
        <v>48</v>
      </c>
    </row>
    <row r="3" spans="1:8" x14ac:dyDescent="0.3">
      <c r="A3" s="2">
        <v>2</v>
      </c>
      <c r="B3" s="1" t="s">
        <v>12</v>
      </c>
      <c r="C3" s="4">
        <v>128000</v>
      </c>
      <c r="D3" s="4">
        <v>128000</v>
      </c>
      <c r="E3" s="1"/>
      <c r="F3" s="3">
        <v>46034</v>
      </c>
      <c r="G3" s="19"/>
      <c r="H3" s="1" t="s">
        <v>48</v>
      </c>
    </row>
    <row r="4" spans="1:8" x14ac:dyDescent="0.3">
      <c r="A4" s="2">
        <v>3</v>
      </c>
      <c r="B4" s="1" t="s">
        <v>12</v>
      </c>
      <c r="C4" s="4">
        <v>267000</v>
      </c>
      <c r="D4" s="4">
        <v>267000</v>
      </c>
      <c r="E4" s="1"/>
      <c r="F4" s="3">
        <v>46004</v>
      </c>
      <c r="G4" s="19"/>
      <c r="H4" s="1" t="s">
        <v>48</v>
      </c>
    </row>
    <row r="5" spans="1:8" x14ac:dyDescent="0.3">
      <c r="A5" s="2">
        <v>4</v>
      </c>
      <c r="B5" s="1" t="s">
        <v>12</v>
      </c>
      <c r="C5" s="4">
        <v>645000</v>
      </c>
      <c r="D5" s="4">
        <v>645245</v>
      </c>
      <c r="E5" s="1"/>
      <c r="F5" s="3">
        <v>45822</v>
      </c>
      <c r="G5" s="19"/>
      <c r="H5" s="1" t="s">
        <v>48</v>
      </c>
    </row>
    <row r="6" spans="1:8" x14ac:dyDescent="0.3">
      <c r="A6" s="2">
        <v>5</v>
      </c>
      <c r="B6" s="1" t="s">
        <v>13</v>
      </c>
      <c r="C6" s="4">
        <v>2049000</v>
      </c>
      <c r="D6" s="4">
        <v>2049000</v>
      </c>
      <c r="E6" s="1"/>
      <c r="F6" s="3">
        <v>46023</v>
      </c>
      <c r="G6" s="8">
        <v>130000</v>
      </c>
      <c r="H6" s="1" t="s">
        <v>48</v>
      </c>
    </row>
    <row r="7" spans="1:8" x14ac:dyDescent="0.3">
      <c r="A7" s="2">
        <v>6</v>
      </c>
      <c r="B7" s="1" t="s">
        <v>6</v>
      </c>
      <c r="C7" s="4">
        <v>1000000</v>
      </c>
      <c r="D7" s="4">
        <v>1000000</v>
      </c>
      <c r="E7" s="3">
        <v>46095</v>
      </c>
      <c r="F7" s="3">
        <v>47921</v>
      </c>
      <c r="G7" s="8">
        <v>77135</v>
      </c>
      <c r="H7" s="1"/>
    </row>
    <row r="8" spans="1:8" x14ac:dyDescent="0.3">
      <c r="A8" s="2">
        <v>7</v>
      </c>
      <c r="B8" s="1" t="s">
        <v>6</v>
      </c>
      <c r="C8" s="4">
        <v>400000</v>
      </c>
      <c r="D8" s="4">
        <v>400000</v>
      </c>
      <c r="E8" s="3">
        <v>45731</v>
      </c>
      <c r="F8" s="3">
        <v>47557</v>
      </c>
      <c r="G8" s="8">
        <v>30854</v>
      </c>
      <c r="H8" s="1"/>
    </row>
    <row r="9" spans="1:8" x14ac:dyDescent="0.3">
      <c r="A9" s="2">
        <v>8</v>
      </c>
      <c r="B9" s="1" t="s">
        <v>6</v>
      </c>
      <c r="C9" s="4">
        <v>150000</v>
      </c>
      <c r="D9" s="4">
        <v>150000</v>
      </c>
      <c r="E9" s="3">
        <v>45993</v>
      </c>
      <c r="F9" s="3">
        <v>47819</v>
      </c>
      <c r="G9" s="8">
        <v>11570</v>
      </c>
      <c r="H9" s="1"/>
    </row>
    <row r="10" spans="1:8" x14ac:dyDescent="0.3">
      <c r="A10" s="2">
        <v>9</v>
      </c>
      <c r="B10" s="1" t="s">
        <v>6</v>
      </c>
      <c r="C10" s="4">
        <v>150000</v>
      </c>
      <c r="D10" s="4">
        <v>150000</v>
      </c>
      <c r="E10" s="3">
        <v>44667</v>
      </c>
      <c r="F10" s="3">
        <v>46493</v>
      </c>
      <c r="G10" s="8">
        <v>10300</v>
      </c>
      <c r="H10" s="1"/>
    </row>
    <row r="11" spans="1:8" x14ac:dyDescent="0.3">
      <c r="A11" s="2">
        <v>10</v>
      </c>
      <c r="B11" s="1" t="s">
        <v>6</v>
      </c>
      <c r="C11" s="4">
        <v>400000</v>
      </c>
      <c r="D11" s="4">
        <v>400000</v>
      </c>
      <c r="E11" s="3">
        <v>45374</v>
      </c>
      <c r="F11" s="3">
        <v>47200</v>
      </c>
      <c r="G11" s="8">
        <v>30854</v>
      </c>
      <c r="H11" s="1"/>
    </row>
    <row r="12" spans="1:8" x14ac:dyDescent="0.3">
      <c r="A12" s="2">
        <v>11</v>
      </c>
      <c r="B12" s="1" t="s">
        <v>6</v>
      </c>
      <c r="C12" s="4">
        <v>660000</v>
      </c>
      <c r="D12" s="4">
        <v>660000</v>
      </c>
      <c r="E12" s="3">
        <v>45127</v>
      </c>
      <c r="F12" s="3">
        <v>46954</v>
      </c>
      <c r="G12" s="8">
        <v>50909</v>
      </c>
      <c r="H12" s="1"/>
    </row>
    <row r="13" spans="1:8" x14ac:dyDescent="0.3">
      <c r="A13" s="2">
        <v>12</v>
      </c>
      <c r="B13" s="1" t="s">
        <v>6</v>
      </c>
      <c r="C13" s="4">
        <v>118000</v>
      </c>
      <c r="D13" s="4">
        <v>118000</v>
      </c>
      <c r="E13" s="3">
        <v>45825</v>
      </c>
      <c r="F13" s="3">
        <v>47651</v>
      </c>
      <c r="G13" s="8">
        <v>9102</v>
      </c>
      <c r="H13" s="1"/>
    </row>
    <row r="14" spans="1:8" x14ac:dyDescent="0.3">
      <c r="A14" s="2">
        <v>13</v>
      </c>
      <c r="B14" s="1" t="s">
        <v>6</v>
      </c>
      <c r="C14" s="4">
        <v>300000</v>
      </c>
      <c r="D14" s="4">
        <v>300000</v>
      </c>
      <c r="E14" s="3">
        <v>45804</v>
      </c>
      <c r="F14" s="3">
        <v>47630</v>
      </c>
      <c r="G14" s="8">
        <v>23140</v>
      </c>
      <c r="H14" s="1"/>
    </row>
    <row r="15" spans="1:8" x14ac:dyDescent="0.3">
      <c r="A15" s="2">
        <v>14</v>
      </c>
      <c r="B15" s="1" t="s">
        <v>6</v>
      </c>
      <c r="C15" s="4">
        <v>150000</v>
      </c>
      <c r="D15" s="4">
        <v>150000</v>
      </c>
      <c r="E15" s="3">
        <v>45787</v>
      </c>
      <c r="F15" s="3">
        <v>47613</v>
      </c>
      <c r="G15" s="8">
        <v>11570</v>
      </c>
      <c r="H15" s="1"/>
    </row>
    <row r="16" spans="1:8" x14ac:dyDescent="0.3">
      <c r="A16" s="2">
        <v>15</v>
      </c>
      <c r="B16" s="1" t="s">
        <v>6</v>
      </c>
      <c r="C16" s="4">
        <v>650000</v>
      </c>
      <c r="D16" s="4">
        <v>650000</v>
      </c>
      <c r="E16" s="3">
        <v>45835</v>
      </c>
      <c r="F16" s="3">
        <v>47661</v>
      </c>
      <c r="G16" s="8">
        <v>50138</v>
      </c>
      <c r="H16" s="1"/>
    </row>
    <row r="17" spans="1:8" x14ac:dyDescent="0.3">
      <c r="A17" s="2">
        <v>16</v>
      </c>
      <c r="B17" s="1" t="s">
        <v>6</v>
      </c>
      <c r="C17" s="4">
        <v>135000</v>
      </c>
      <c r="D17" s="4">
        <v>135000</v>
      </c>
      <c r="E17" s="3">
        <v>45846</v>
      </c>
      <c r="F17" s="3">
        <v>47672</v>
      </c>
      <c r="G17" s="8">
        <v>10413</v>
      </c>
      <c r="H17" s="1"/>
    </row>
    <row r="18" spans="1:8" x14ac:dyDescent="0.3">
      <c r="A18" s="2">
        <v>17</v>
      </c>
      <c r="B18" s="1" t="s">
        <v>6</v>
      </c>
      <c r="C18" s="4">
        <v>540000</v>
      </c>
      <c r="D18" s="4">
        <v>540000</v>
      </c>
      <c r="E18" s="3">
        <v>46046</v>
      </c>
      <c r="F18" s="3">
        <v>47872</v>
      </c>
      <c r="G18" s="8">
        <v>41653</v>
      </c>
      <c r="H18" s="1"/>
    </row>
    <row r="19" spans="1:8" x14ac:dyDescent="0.3">
      <c r="A19" s="2">
        <v>18</v>
      </c>
      <c r="B19" s="1" t="s">
        <v>6</v>
      </c>
      <c r="C19" s="4">
        <v>100000</v>
      </c>
      <c r="D19" s="4">
        <v>100000</v>
      </c>
      <c r="E19" s="3">
        <v>45857</v>
      </c>
      <c r="F19" s="3">
        <v>47683</v>
      </c>
      <c r="G19" s="8">
        <v>7713</v>
      </c>
      <c r="H19" s="1"/>
    </row>
    <row r="20" spans="1:8" x14ac:dyDescent="0.3">
      <c r="A20" s="2">
        <v>19</v>
      </c>
      <c r="B20" s="1" t="s">
        <v>6</v>
      </c>
      <c r="C20" s="4">
        <v>180000</v>
      </c>
      <c r="D20" s="4">
        <v>180000</v>
      </c>
      <c r="E20" s="3">
        <v>45990</v>
      </c>
      <c r="F20" s="3">
        <v>47816</v>
      </c>
      <c r="G20" s="8">
        <v>13884</v>
      </c>
      <c r="H20" s="1" t="s">
        <v>48</v>
      </c>
    </row>
    <row r="21" spans="1:8" x14ac:dyDescent="0.3">
      <c r="A21" s="2">
        <v>20</v>
      </c>
      <c r="B21" s="14" t="s">
        <v>6</v>
      </c>
      <c r="C21" s="4">
        <v>200000</v>
      </c>
      <c r="D21" s="4">
        <v>200000</v>
      </c>
      <c r="E21" s="3">
        <v>46116</v>
      </c>
      <c r="F21" s="3">
        <v>47942</v>
      </c>
      <c r="G21" s="1">
        <v>15427</v>
      </c>
      <c r="H21" s="14" t="s">
        <v>48</v>
      </c>
    </row>
    <row r="22" spans="1:8" x14ac:dyDescent="0.3">
      <c r="A22" s="2">
        <v>21</v>
      </c>
      <c r="B22" s="14" t="s">
        <v>6</v>
      </c>
      <c r="C22" s="4">
        <v>450000</v>
      </c>
      <c r="D22" s="4">
        <v>450000</v>
      </c>
      <c r="E22" s="3">
        <v>46116</v>
      </c>
      <c r="F22" s="3">
        <v>47942</v>
      </c>
      <c r="G22" s="1">
        <v>34711</v>
      </c>
      <c r="H22" s="14" t="s">
        <v>48</v>
      </c>
    </row>
    <row r="23" spans="1:8" x14ac:dyDescent="0.3">
      <c r="A23" s="2">
        <v>22</v>
      </c>
      <c r="B23" s="14" t="s">
        <v>6</v>
      </c>
      <c r="C23" s="4">
        <v>450000</v>
      </c>
      <c r="D23" s="4">
        <v>450000</v>
      </c>
      <c r="E23" s="3">
        <v>46116</v>
      </c>
      <c r="F23" s="3">
        <v>47942</v>
      </c>
      <c r="G23" s="1">
        <v>34711</v>
      </c>
      <c r="H23" s="14" t="s">
        <v>48</v>
      </c>
    </row>
    <row r="24" spans="1:8" x14ac:dyDescent="0.3">
      <c r="A24" s="2">
        <v>23</v>
      </c>
      <c r="B24" s="14" t="s">
        <v>6</v>
      </c>
      <c r="C24" s="4">
        <v>450000</v>
      </c>
      <c r="D24" s="4">
        <v>450000</v>
      </c>
      <c r="E24" s="3">
        <v>46116</v>
      </c>
      <c r="F24" s="3">
        <v>47942</v>
      </c>
      <c r="G24" s="1">
        <v>34711</v>
      </c>
      <c r="H24" s="14" t="s">
        <v>48</v>
      </c>
    </row>
    <row r="25" spans="1:8" x14ac:dyDescent="0.3">
      <c r="A25" s="2">
        <v>24</v>
      </c>
      <c r="B25" s="14" t="s">
        <v>6</v>
      </c>
      <c r="C25" s="4">
        <v>450000</v>
      </c>
      <c r="D25" s="4">
        <v>450000</v>
      </c>
      <c r="E25" s="3">
        <v>46116</v>
      </c>
      <c r="F25" s="3">
        <v>47942</v>
      </c>
      <c r="G25" s="1">
        <v>34711</v>
      </c>
      <c r="H25" s="14" t="s">
        <v>48</v>
      </c>
    </row>
    <row r="26" spans="1:8" x14ac:dyDescent="0.3">
      <c r="A26" s="2">
        <v>25</v>
      </c>
      <c r="B26" s="14" t="s">
        <v>6</v>
      </c>
      <c r="C26" s="4">
        <v>150000</v>
      </c>
      <c r="D26" s="4">
        <v>150000</v>
      </c>
      <c r="E26" s="3">
        <v>46107</v>
      </c>
      <c r="F26" s="3">
        <v>47933</v>
      </c>
      <c r="G26" s="1">
        <v>11570</v>
      </c>
      <c r="H26" s="14" t="s">
        <v>48</v>
      </c>
    </row>
    <row r="27" spans="1:8" x14ac:dyDescent="0.3">
      <c r="A27" s="2">
        <v>26</v>
      </c>
      <c r="B27" s="14" t="s">
        <v>9</v>
      </c>
      <c r="C27" s="4">
        <v>900000</v>
      </c>
      <c r="D27" s="4">
        <v>900000</v>
      </c>
      <c r="E27" s="3">
        <v>45114</v>
      </c>
      <c r="F27" s="3">
        <v>46941</v>
      </c>
      <c r="G27" s="8">
        <v>66000</v>
      </c>
      <c r="H27" s="14" t="s">
        <v>48</v>
      </c>
    </row>
    <row r="28" spans="1:8" x14ac:dyDescent="0.3">
      <c r="A28" s="2">
        <v>27</v>
      </c>
      <c r="B28" s="1" t="s">
        <v>8</v>
      </c>
      <c r="C28" s="4">
        <v>80000</v>
      </c>
      <c r="D28" s="4">
        <v>115923</v>
      </c>
      <c r="E28" s="3">
        <v>46095</v>
      </c>
      <c r="F28" s="3">
        <v>47921</v>
      </c>
      <c r="G28" s="8"/>
      <c r="H28" s="1"/>
    </row>
    <row r="29" spans="1:8" x14ac:dyDescent="0.3">
      <c r="A29" s="2">
        <v>28</v>
      </c>
      <c r="B29" s="1" t="s">
        <v>8</v>
      </c>
      <c r="C29" s="4">
        <v>50000</v>
      </c>
      <c r="D29" s="4">
        <v>72452</v>
      </c>
      <c r="E29" s="3">
        <v>46022</v>
      </c>
      <c r="F29" s="3">
        <v>47848</v>
      </c>
      <c r="G29" s="8"/>
      <c r="H29" s="1"/>
    </row>
    <row r="30" spans="1:8" x14ac:dyDescent="0.3">
      <c r="A30" s="2">
        <v>29</v>
      </c>
      <c r="B30" s="1" t="s">
        <v>8</v>
      </c>
      <c r="C30" s="4">
        <v>30000</v>
      </c>
      <c r="D30" s="4">
        <v>43471</v>
      </c>
      <c r="E30" s="3">
        <v>46025</v>
      </c>
      <c r="F30" s="3">
        <v>47851</v>
      </c>
      <c r="G30" s="8"/>
      <c r="H30" s="1"/>
    </row>
    <row r="31" spans="1:8" x14ac:dyDescent="0.3">
      <c r="A31" s="2">
        <v>30</v>
      </c>
      <c r="B31" s="1" t="s">
        <v>8</v>
      </c>
      <c r="C31" s="4">
        <v>40000</v>
      </c>
      <c r="D31" s="4">
        <v>57961</v>
      </c>
      <c r="E31" s="3">
        <v>46387</v>
      </c>
      <c r="F31" s="3">
        <v>48213</v>
      </c>
      <c r="G31" s="8"/>
      <c r="H31" s="1"/>
    </row>
    <row r="32" spans="1:8" x14ac:dyDescent="0.3">
      <c r="A32" s="2">
        <v>31</v>
      </c>
      <c r="B32" s="1" t="s">
        <v>8</v>
      </c>
      <c r="C32" s="4">
        <v>150000</v>
      </c>
      <c r="D32" s="4">
        <v>217355</v>
      </c>
      <c r="E32" s="3">
        <v>46022</v>
      </c>
      <c r="F32" s="3">
        <v>47848</v>
      </c>
      <c r="G32" s="8"/>
      <c r="H32" s="1"/>
    </row>
    <row r="33" spans="1:8" x14ac:dyDescent="0.3">
      <c r="A33" s="2">
        <v>32</v>
      </c>
      <c r="B33" s="14" t="s">
        <v>7</v>
      </c>
      <c r="C33" s="4">
        <v>500000</v>
      </c>
      <c r="D33" s="4">
        <v>1000000</v>
      </c>
      <c r="E33" s="3">
        <v>44267</v>
      </c>
      <c r="F33" s="3">
        <v>48041</v>
      </c>
      <c r="G33" s="8"/>
      <c r="H33" s="14" t="s">
        <v>48</v>
      </c>
    </row>
    <row r="34" spans="1:8" x14ac:dyDescent="0.3">
      <c r="A34" s="2">
        <v>33</v>
      </c>
      <c r="B34" s="14" t="s">
        <v>7</v>
      </c>
      <c r="C34" s="4">
        <v>500000</v>
      </c>
      <c r="D34" s="4">
        <v>1000000</v>
      </c>
      <c r="E34" s="3">
        <v>44267</v>
      </c>
      <c r="F34" s="3">
        <v>48041</v>
      </c>
      <c r="G34" s="8"/>
      <c r="H34" s="14" t="s">
        <v>48</v>
      </c>
    </row>
    <row r="35" spans="1:8" x14ac:dyDescent="0.3">
      <c r="A35" s="13">
        <v>34</v>
      </c>
      <c r="B35" s="18" t="s">
        <v>6</v>
      </c>
      <c r="C35" s="12">
        <v>150000</v>
      </c>
      <c r="D35" s="12">
        <v>150000</v>
      </c>
      <c r="E35" s="11">
        <v>46165</v>
      </c>
      <c r="F35" s="11">
        <v>47991</v>
      </c>
      <c r="H35" t="s">
        <v>48</v>
      </c>
    </row>
    <row r="36" spans="1:8" x14ac:dyDescent="0.3">
      <c r="A36" s="13">
        <v>35</v>
      </c>
      <c r="B36" s="18" t="s">
        <v>6</v>
      </c>
      <c r="C36" s="12">
        <v>700000</v>
      </c>
      <c r="D36" s="12">
        <v>700000</v>
      </c>
      <c r="E36" s="11">
        <v>46199</v>
      </c>
      <c r="F36" s="11">
        <v>46199</v>
      </c>
      <c r="G36">
        <v>60000</v>
      </c>
      <c r="H36" t="s">
        <v>48</v>
      </c>
    </row>
    <row r="37" spans="1:8" x14ac:dyDescent="0.3">
      <c r="A37" s="13">
        <v>34</v>
      </c>
      <c r="B37" s="18" t="s">
        <v>6</v>
      </c>
      <c r="C37" s="12">
        <v>100000</v>
      </c>
      <c r="D37" s="12">
        <v>100000</v>
      </c>
      <c r="E37" s="11">
        <v>46199</v>
      </c>
      <c r="F37" s="11">
        <v>46199</v>
      </c>
      <c r="H37" t="s">
        <v>56</v>
      </c>
    </row>
  </sheetData>
  <mergeCells count="1">
    <mergeCell ref="G3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C94F-209F-463A-8CCF-5144D2B39990}">
  <dimension ref="A1:H15"/>
  <sheetViews>
    <sheetView workbookViewId="0">
      <selection activeCell="D2" sqref="D2:D15"/>
    </sheetView>
  </sheetViews>
  <sheetFormatPr defaultRowHeight="14.4" x14ac:dyDescent="0.3"/>
  <cols>
    <col min="5" max="5" width="15" bestFit="1" customWidth="1"/>
    <col min="6" max="6" width="10.33203125" bestFit="1" customWidth="1"/>
    <col min="7" max="7" width="14.8867187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10" t="s">
        <v>47</v>
      </c>
    </row>
    <row r="2" spans="1:8" x14ac:dyDescent="0.3">
      <c r="A2">
        <v>1</v>
      </c>
      <c r="B2" t="s">
        <v>49</v>
      </c>
      <c r="C2">
        <v>230000</v>
      </c>
      <c r="D2">
        <v>230000</v>
      </c>
      <c r="F2" s="11">
        <v>46007</v>
      </c>
      <c r="G2">
        <v>4370</v>
      </c>
    </row>
    <row r="3" spans="1:8" x14ac:dyDescent="0.3">
      <c r="A3">
        <v>2</v>
      </c>
      <c r="B3" t="s">
        <v>49</v>
      </c>
      <c r="C3">
        <v>150000</v>
      </c>
      <c r="D3">
        <v>150000</v>
      </c>
      <c r="F3" s="11">
        <v>46724</v>
      </c>
      <c r="G3">
        <v>2775</v>
      </c>
    </row>
    <row r="4" spans="1:8" x14ac:dyDescent="0.3">
      <c r="A4">
        <v>3</v>
      </c>
      <c r="B4" t="s">
        <v>49</v>
      </c>
      <c r="C4">
        <v>150000</v>
      </c>
      <c r="D4">
        <v>150000</v>
      </c>
      <c r="F4" s="11">
        <v>46290</v>
      </c>
      <c r="G4">
        <v>2775</v>
      </c>
    </row>
    <row r="5" spans="1:8" x14ac:dyDescent="0.3">
      <c r="A5">
        <v>4</v>
      </c>
      <c r="B5" t="s">
        <v>49</v>
      </c>
      <c r="C5">
        <v>50000</v>
      </c>
      <c r="D5">
        <v>50000</v>
      </c>
      <c r="F5" s="11">
        <v>46738</v>
      </c>
      <c r="G5">
        <v>950</v>
      </c>
    </row>
    <row r="6" spans="1:8" x14ac:dyDescent="0.3">
      <c r="A6">
        <v>5</v>
      </c>
      <c r="B6" t="s">
        <v>49</v>
      </c>
      <c r="C6">
        <v>124000</v>
      </c>
      <c r="D6">
        <v>124000</v>
      </c>
      <c r="F6" s="11">
        <v>47669</v>
      </c>
      <c r="G6">
        <v>2542</v>
      </c>
    </row>
    <row r="7" spans="1:8" x14ac:dyDescent="0.3">
      <c r="A7">
        <v>6</v>
      </c>
      <c r="B7" t="s">
        <v>49</v>
      </c>
      <c r="C7">
        <v>60000</v>
      </c>
      <c r="D7">
        <v>60000</v>
      </c>
      <c r="F7" s="11">
        <v>47550</v>
      </c>
      <c r="G7">
        <v>1230</v>
      </c>
    </row>
    <row r="8" spans="1:8" x14ac:dyDescent="0.3">
      <c r="A8">
        <v>7</v>
      </c>
      <c r="B8" t="s">
        <v>49</v>
      </c>
      <c r="C8">
        <v>90000</v>
      </c>
      <c r="D8">
        <v>90000</v>
      </c>
      <c r="F8" s="11">
        <v>46248</v>
      </c>
      <c r="G8">
        <v>1665</v>
      </c>
    </row>
    <row r="9" spans="1:8" x14ac:dyDescent="0.3">
      <c r="A9">
        <v>8</v>
      </c>
      <c r="B9" t="s">
        <v>49</v>
      </c>
      <c r="C9">
        <v>125000</v>
      </c>
      <c r="D9">
        <v>125000</v>
      </c>
      <c r="F9" s="11">
        <v>47117</v>
      </c>
      <c r="G9">
        <v>2563</v>
      </c>
    </row>
    <row r="10" spans="1:8" x14ac:dyDescent="0.3">
      <c r="A10">
        <v>9</v>
      </c>
      <c r="B10" t="s">
        <v>49</v>
      </c>
      <c r="C10">
        <v>350000</v>
      </c>
      <c r="D10">
        <v>350000</v>
      </c>
      <c r="F10" s="11">
        <v>46535</v>
      </c>
      <c r="G10">
        <v>6475</v>
      </c>
    </row>
    <row r="11" spans="1:8" x14ac:dyDescent="0.3">
      <c r="A11">
        <v>10</v>
      </c>
      <c r="B11" t="s">
        <v>49</v>
      </c>
      <c r="C11">
        <v>100000</v>
      </c>
      <c r="D11">
        <v>100000</v>
      </c>
      <c r="F11" s="11">
        <v>47242</v>
      </c>
      <c r="G11">
        <v>2050</v>
      </c>
    </row>
    <row r="12" spans="1:8" x14ac:dyDescent="0.3">
      <c r="A12">
        <v>11</v>
      </c>
      <c r="B12" t="s">
        <v>49</v>
      </c>
      <c r="C12">
        <v>100000</v>
      </c>
      <c r="D12">
        <v>100000</v>
      </c>
      <c r="F12" s="11">
        <v>46970</v>
      </c>
      <c r="G12">
        <v>2050</v>
      </c>
    </row>
    <row r="13" spans="1:8" x14ac:dyDescent="0.3">
      <c r="A13">
        <v>12</v>
      </c>
      <c r="B13" t="s">
        <v>49</v>
      </c>
      <c r="C13">
        <v>200000</v>
      </c>
      <c r="D13">
        <v>200000</v>
      </c>
      <c r="F13" s="11">
        <v>46086</v>
      </c>
      <c r="G13">
        <v>4000</v>
      </c>
    </row>
    <row r="14" spans="1:8" x14ac:dyDescent="0.3">
      <c r="A14">
        <v>13</v>
      </c>
      <c r="B14" t="s">
        <v>49</v>
      </c>
      <c r="C14">
        <v>180000</v>
      </c>
      <c r="D14">
        <v>180000</v>
      </c>
      <c r="F14" s="11">
        <v>45996</v>
      </c>
      <c r="G14">
        <v>3330</v>
      </c>
    </row>
    <row r="15" spans="1:8" x14ac:dyDescent="0.3">
      <c r="A15">
        <v>14</v>
      </c>
      <c r="B15" t="s">
        <v>55</v>
      </c>
      <c r="C15">
        <v>571000</v>
      </c>
      <c r="D15">
        <v>571000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0850-D2D3-4A55-9F05-1D585F9B138A}">
  <dimension ref="A1:D41"/>
  <sheetViews>
    <sheetView topLeftCell="A22" workbookViewId="0">
      <selection activeCell="D2" sqref="D2:D41"/>
    </sheetView>
  </sheetViews>
  <sheetFormatPr defaultRowHeight="14.4" x14ac:dyDescent="0.3"/>
  <cols>
    <col min="2" max="2" width="14.5546875" customWidth="1"/>
    <col min="3" max="3" width="16.109375" customWidth="1"/>
  </cols>
  <sheetData>
    <row r="1" spans="1:4" x14ac:dyDescent="0.3">
      <c r="A1" t="s">
        <v>22</v>
      </c>
      <c r="B1" t="s">
        <v>23</v>
      </c>
      <c r="C1" t="s">
        <v>24</v>
      </c>
      <c r="D1" t="s">
        <v>21</v>
      </c>
    </row>
    <row r="2" spans="1:4" x14ac:dyDescent="0.3">
      <c r="A2" t="s">
        <v>25</v>
      </c>
      <c r="B2" t="s">
        <v>11</v>
      </c>
      <c r="C2">
        <v>64950</v>
      </c>
      <c r="D2" s="21">
        <v>104750</v>
      </c>
    </row>
    <row r="3" spans="1:4" x14ac:dyDescent="0.3">
      <c r="B3" t="s">
        <v>6</v>
      </c>
      <c r="C3">
        <v>34300</v>
      </c>
      <c r="D3" s="21"/>
    </row>
    <row r="4" spans="1:4" x14ac:dyDescent="0.3">
      <c r="B4" t="s">
        <v>9</v>
      </c>
      <c r="C4">
        <v>5500</v>
      </c>
      <c r="D4" s="21"/>
    </row>
    <row r="6" spans="1:4" x14ac:dyDescent="0.3">
      <c r="A6" s="6" t="s">
        <v>26</v>
      </c>
      <c r="B6" t="s">
        <v>9</v>
      </c>
      <c r="C6">
        <v>5500</v>
      </c>
      <c r="D6">
        <v>5500</v>
      </c>
    </row>
    <row r="9" spans="1:4" x14ac:dyDescent="0.3">
      <c r="A9" t="s">
        <v>27</v>
      </c>
      <c r="B9" t="s">
        <v>28</v>
      </c>
      <c r="C9">
        <v>30854</v>
      </c>
      <c r="D9" s="21">
        <v>140078</v>
      </c>
    </row>
    <row r="10" spans="1:4" x14ac:dyDescent="0.3">
      <c r="B10" t="s">
        <v>29</v>
      </c>
      <c r="C10">
        <v>30854</v>
      </c>
      <c r="D10" s="21"/>
    </row>
    <row r="11" spans="1:4" x14ac:dyDescent="0.3">
      <c r="B11" t="s">
        <v>30</v>
      </c>
      <c r="C11">
        <v>6870</v>
      </c>
      <c r="D11" s="21"/>
    </row>
    <row r="12" spans="1:4" x14ac:dyDescent="0.3">
      <c r="B12" t="s">
        <v>31</v>
      </c>
      <c r="C12">
        <v>66000</v>
      </c>
      <c r="D12" s="21"/>
    </row>
    <row r="13" spans="1:4" x14ac:dyDescent="0.3">
      <c r="B13" t="s">
        <v>9</v>
      </c>
      <c r="C13">
        <v>5500</v>
      </c>
      <c r="D13" s="21"/>
    </row>
    <row r="15" spans="1:4" x14ac:dyDescent="0.3">
      <c r="A15" s="6" t="s">
        <v>32</v>
      </c>
      <c r="B15" t="s">
        <v>9</v>
      </c>
      <c r="C15">
        <v>5500</v>
      </c>
      <c r="D15" s="21">
        <v>15800</v>
      </c>
    </row>
    <row r="16" spans="1:4" x14ac:dyDescent="0.3">
      <c r="C16">
        <v>10300</v>
      </c>
      <c r="D16" s="21"/>
    </row>
    <row r="18" spans="1:4" x14ac:dyDescent="0.3">
      <c r="A18" s="6" t="s">
        <v>33</v>
      </c>
      <c r="B18" t="s">
        <v>6</v>
      </c>
      <c r="C18">
        <v>11200</v>
      </c>
      <c r="D18" s="21">
        <v>16700</v>
      </c>
    </row>
    <row r="19" spans="1:4" x14ac:dyDescent="0.3">
      <c r="B19" t="s">
        <v>9</v>
      </c>
      <c r="C19">
        <v>5500</v>
      </c>
      <c r="D19" s="21"/>
    </row>
    <row r="22" spans="1:4" x14ac:dyDescent="0.3">
      <c r="A22" t="s">
        <v>34</v>
      </c>
      <c r="B22" t="s">
        <v>11</v>
      </c>
      <c r="C22">
        <v>64950</v>
      </c>
      <c r="D22" s="21">
        <v>92850</v>
      </c>
    </row>
    <row r="23" spans="1:4" x14ac:dyDescent="0.3">
      <c r="B23" t="s">
        <v>9</v>
      </c>
      <c r="C23">
        <v>5500</v>
      </c>
      <c r="D23" s="21"/>
    </row>
    <row r="24" spans="1:4" x14ac:dyDescent="0.3">
      <c r="B24" t="s">
        <v>6</v>
      </c>
      <c r="C24">
        <v>22400</v>
      </c>
      <c r="D24" s="21"/>
    </row>
    <row r="26" spans="1:4" x14ac:dyDescent="0.3">
      <c r="A26" t="s">
        <v>35</v>
      </c>
      <c r="B26" t="s">
        <v>9</v>
      </c>
      <c r="C26">
        <v>5500</v>
      </c>
      <c r="D26" s="21">
        <v>56409</v>
      </c>
    </row>
    <row r="27" spans="1:4" x14ac:dyDescent="0.3">
      <c r="B27" t="s">
        <v>6</v>
      </c>
      <c r="C27">
        <v>50909</v>
      </c>
      <c r="D27" s="21"/>
    </row>
    <row r="29" spans="1:4" x14ac:dyDescent="0.3">
      <c r="A29" s="6" t="s">
        <v>36</v>
      </c>
      <c r="B29" t="s">
        <v>9</v>
      </c>
      <c r="C29">
        <v>5500</v>
      </c>
      <c r="D29">
        <v>5500</v>
      </c>
    </row>
    <row r="32" spans="1:4" x14ac:dyDescent="0.3">
      <c r="A32" s="6" t="s">
        <v>37</v>
      </c>
      <c r="B32" t="s">
        <v>9</v>
      </c>
      <c r="C32">
        <v>5500</v>
      </c>
      <c r="D32">
        <v>5500</v>
      </c>
    </row>
    <row r="35" spans="1:4" x14ac:dyDescent="0.3">
      <c r="A35" s="6" t="s">
        <v>38</v>
      </c>
      <c r="B35" t="s">
        <v>9</v>
      </c>
      <c r="C35">
        <v>5500</v>
      </c>
      <c r="D35">
        <v>5500</v>
      </c>
    </row>
    <row r="38" spans="1:4" x14ac:dyDescent="0.3">
      <c r="A38" s="6" t="s">
        <v>39</v>
      </c>
      <c r="B38" t="s">
        <v>9</v>
      </c>
      <c r="C38">
        <v>5500</v>
      </c>
      <c r="D38">
        <v>5500</v>
      </c>
    </row>
    <row r="41" spans="1:4" x14ac:dyDescent="0.3">
      <c r="A41" s="6" t="s">
        <v>40</v>
      </c>
      <c r="B41" t="s">
        <v>9</v>
      </c>
      <c r="C41">
        <v>5500</v>
      </c>
      <c r="D41">
        <v>5500</v>
      </c>
    </row>
  </sheetData>
  <mergeCells count="6">
    <mergeCell ref="D26:D27"/>
    <mergeCell ref="D2:D4"/>
    <mergeCell ref="D9:D13"/>
    <mergeCell ref="D15:D16"/>
    <mergeCell ref="D18:D19"/>
    <mergeCell ref="D22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DD90-1F51-4028-A50E-51902EB272EA}">
  <dimension ref="A1:C13"/>
  <sheetViews>
    <sheetView workbookViewId="0">
      <selection activeCell="C9" sqref="C9:C13"/>
    </sheetView>
  </sheetViews>
  <sheetFormatPr defaultRowHeight="14.4" x14ac:dyDescent="0.3"/>
  <cols>
    <col min="2" max="2" width="22" bestFit="1" customWidth="1"/>
  </cols>
  <sheetData>
    <row r="1" spans="1:3" x14ac:dyDescent="0.3">
      <c r="A1" t="s">
        <v>0</v>
      </c>
      <c r="B1" t="s">
        <v>41</v>
      </c>
      <c r="C1" t="s">
        <v>43</v>
      </c>
    </row>
    <row r="2" spans="1:3" x14ac:dyDescent="0.3">
      <c r="A2">
        <v>1</v>
      </c>
      <c r="B2" t="s">
        <v>42</v>
      </c>
      <c r="C2">
        <v>70000</v>
      </c>
    </row>
    <row r="3" spans="1:3" x14ac:dyDescent="0.3">
      <c r="A3">
        <v>2</v>
      </c>
      <c r="B3" t="s">
        <v>45</v>
      </c>
      <c r="C3">
        <v>65000</v>
      </c>
    </row>
    <row r="4" spans="1:3" x14ac:dyDescent="0.3">
      <c r="A4">
        <v>3</v>
      </c>
      <c r="B4" t="s">
        <v>46</v>
      </c>
      <c r="C4">
        <v>135000</v>
      </c>
    </row>
    <row r="9" spans="1:3" x14ac:dyDescent="0.3">
      <c r="A9">
        <v>1</v>
      </c>
      <c r="B9" t="s">
        <v>50</v>
      </c>
      <c r="C9">
        <v>27000</v>
      </c>
    </row>
    <row r="10" spans="1:3" x14ac:dyDescent="0.3">
      <c r="A10">
        <v>2</v>
      </c>
      <c r="B10" t="s">
        <v>51</v>
      </c>
      <c r="C10">
        <v>1840</v>
      </c>
    </row>
    <row r="11" spans="1:3" x14ac:dyDescent="0.3">
      <c r="A11">
        <v>3</v>
      </c>
      <c r="B11" t="s">
        <v>52</v>
      </c>
      <c r="C11">
        <v>7200</v>
      </c>
    </row>
    <row r="12" spans="1:3" x14ac:dyDescent="0.3">
      <c r="A12">
        <v>4</v>
      </c>
      <c r="B12" t="s">
        <v>53</v>
      </c>
      <c r="C12">
        <v>10000</v>
      </c>
    </row>
    <row r="13" spans="1:3" x14ac:dyDescent="0.3">
      <c r="A13">
        <v>5</v>
      </c>
      <c r="B13" t="s">
        <v>54</v>
      </c>
      <c r="C13">
        <v>21000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BFFE-4269-431F-90AD-888FE67DAF1A}">
  <dimension ref="A1:H37"/>
  <sheetViews>
    <sheetView topLeftCell="A20" workbookViewId="0">
      <selection activeCell="C2" sqref="C2:C37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3</v>
      </c>
      <c r="G1" s="5" t="s">
        <v>5</v>
      </c>
      <c r="H1" s="5" t="s">
        <v>47</v>
      </c>
    </row>
    <row r="2" spans="1:8" x14ac:dyDescent="0.3">
      <c r="A2" s="2">
        <v>1</v>
      </c>
      <c r="B2" s="1" t="s">
        <v>11</v>
      </c>
      <c r="C2" s="4">
        <v>1800000</v>
      </c>
      <c r="D2" s="4">
        <v>1800000</v>
      </c>
      <c r="E2" s="1"/>
      <c r="F2" s="1"/>
      <c r="G2" s="8">
        <v>100000</v>
      </c>
      <c r="H2" s="14" t="s">
        <v>48</v>
      </c>
    </row>
    <row r="3" spans="1:8" x14ac:dyDescent="0.3">
      <c r="A3" s="2">
        <v>2</v>
      </c>
      <c r="B3" s="1" t="s">
        <v>12</v>
      </c>
      <c r="C3" s="4">
        <v>128000</v>
      </c>
      <c r="D3" s="4">
        <v>128000</v>
      </c>
      <c r="E3" s="1"/>
      <c r="F3" s="3">
        <v>46034</v>
      </c>
      <c r="G3" s="19"/>
      <c r="H3" s="1" t="s">
        <v>48</v>
      </c>
    </row>
    <row r="4" spans="1:8" x14ac:dyDescent="0.3">
      <c r="A4" s="2">
        <v>3</v>
      </c>
      <c r="B4" s="1" t="s">
        <v>12</v>
      </c>
      <c r="C4" s="4">
        <v>267000</v>
      </c>
      <c r="D4" s="4">
        <v>267000</v>
      </c>
      <c r="E4" s="1"/>
      <c r="F4" s="3">
        <v>46004</v>
      </c>
      <c r="G4" s="19"/>
      <c r="H4" s="1" t="s">
        <v>48</v>
      </c>
    </row>
    <row r="5" spans="1:8" x14ac:dyDescent="0.3">
      <c r="A5" s="2">
        <v>4</v>
      </c>
      <c r="B5" s="1" t="s">
        <v>12</v>
      </c>
      <c r="C5" s="4">
        <v>645000</v>
      </c>
      <c r="D5" s="4">
        <v>645245</v>
      </c>
      <c r="E5" s="1"/>
      <c r="F5" s="3">
        <v>45822</v>
      </c>
      <c r="G5" s="19"/>
      <c r="H5" s="1" t="s">
        <v>48</v>
      </c>
    </row>
    <row r="6" spans="1:8" x14ac:dyDescent="0.3">
      <c r="A6" s="2">
        <v>5</v>
      </c>
      <c r="B6" s="1" t="s">
        <v>13</v>
      </c>
      <c r="C6" s="4">
        <v>1900000</v>
      </c>
      <c r="D6" s="4">
        <v>1900000</v>
      </c>
      <c r="E6" s="1"/>
      <c r="F6" s="3">
        <v>46023</v>
      </c>
      <c r="G6" s="8">
        <v>130000</v>
      </c>
      <c r="H6" s="1" t="s">
        <v>48</v>
      </c>
    </row>
    <row r="7" spans="1:8" x14ac:dyDescent="0.3">
      <c r="A7" s="2">
        <v>6</v>
      </c>
      <c r="B7" s="1" t="s">
        <v>6</v>
      </c>
      <c r="C7" s="4">
        <v>1000000</v>
      </c>
      <c r="D7" s="4">
        <v>1000000</v>
      </c>
      <c r="E7" s="3">
        <v>46095</v>
      </c>
      <c r="F7" s="3">
        <v>47921</v>
      </c>
      <c r="G7" s="8">
        <v>77135</v>
      </c>
      <c r="H7" s="1"/>
    </row>
    <row r="8" spans="1:8" x14ac:dyDescent="0.3">
      <c r="A8" s="2">
        <v>7</v>
      </c>
      <c r="B8" s="1" t="s">
        <v>6</v>
      </c>
      <c r="C8" s="4">
        <v>400000</v>
      </c>
      <c r="D8" s="4">
        <v>400000</v>
      </c>
      <c r="E8" s="3">
        <v>45731</v>
      </c>
      <c r="F8" s="3">
        <v>47557</v>
      </c>
      <c r="G8" s="8">
        <v>30854</v>
      </c>
      <c r="H8" s="1"/>
    </row>
    <row r="9" spans="1:8" x14ac:dyDescent="0.3">
      <c r="A9" s="2">
        <v>8</v>
      </c>
      <c r="B9" s="1" t="s">
        <v>6</v>
      </c>
      <c r="C9" s="4">
        <v>150000</v>
      </c>
      <c r="D9" s="4">
        <v>150000</v>
      </c>
      <c r="E9" s="3">
        <v>45993</v>
      </c>
      <c r="F9" s="3">
        <v>47819</v>
      </c>
      <c r="G9" s="8">
        <v>11570</v>
      </c>
      <c r="H9" s="1"/>
    </row>
    <row r="10" spans="1:8" x14ac:dyDescent="0.3">
      <c r="A10" s="2">
        <v>9</v>
      </c>
      <c r="B10" s="1" t="s">
        <v>6</v>
      </c>
      <c r="C10" s="4">
        <v>150000</v>
      </c>
      <c r="D10" s="4">
        <v>150000</v>
      </c>
      <c r="E10" s="3">
        <v>44667</v>
      </c>
      <c r="F10" s="3">
        <v>46493</v>
      </c>
      <c r="G10" s="8">
        <v>10300</v>
      </c>
      <c r="H10" s="1"/>
    </row>
    <row r="11" spans="1:8" x14ac:dyDescent="0.3">
      <c r="A11" s="2">
        <v>10</v>
      </c>
      <c r="B11" s="1" t="s">
        <v>6</v>
      </c>
      <c r="C11" s="4">
        <v>400000</v>
      </c>
      <c r="D11" s="4">
        <v>400000</v>
      </c>
      <c r="E11" s="3">
        <v>45374</v>
      </c>
      <c r="F11" s="3">
        <v>47200</v>
      </c>
      <c r="G11" s="8">
        <v>30854</v>
      </c>
      <c r="H11" s="1"/>
    </row>
    <row r="12" spans="1:8" x14ac:dyDescent="0.3">
      <c r="A12" s="2">
        <v>11</v>
      </c>
      <c r="B12" s="1" t="s">
        <v>6</v>
      </c>
      <c r="C12" s="4">
        <v>660000</v>
      </c>
      <c r="D12" s="4">
        <v>660000</v>
      </c>
      <c r="E12" s="3">
        <v>45127</v>
      </c>
      <c r="F12" s="3">
        <v>46954</v>
      </c>
      <c r="G12" s="8">
        <v>50909</v>
      </c>
      <c r="H12" s="1"/>
    </row>
    <row r="13" spans="1:8" x14ac:dyDescent="0.3">
      <c r="A13" s="2">
        <v>12</v>
      </c>
      <c r="B13" s="1" t="s">
        <v>6</v>
      </c>
      <c r="C13" s="4">
        <v>118000</v>
      </c>
      <c r="D13" s="4">
        <v>118000</v>
      </c>
      <c r="E13" s="3">
        <v>45825</v>
      </c>
      <c r="F13" s="3">
        <v>47651</v>
      </c>
      <c r="G13" s="8">
        <v>9102</v>
      </c>
      <c r="H13" s="1"/>
    </row>
    <row r="14" spans="1:8" x14ac:dyDescent="0.3">
      <c r="A14" s="2">
        <v>13</v>
      </c>
      <c r="B14" s="1" t="s">
        <v>6</v>
      </c>
      <c r="C14" s="4">
        <v>300000</v>
      </c>
      <c r="D14" s="4">
        <v>300000</v>
      </c>
      <c r="E14" s="3">
        <v>45804</v>
      </c>
      <c r="F14" s="3">
        <v>47630</v>
      </c>
      <c r="G14" s="8">
        <v>23140</v>
      </c>
      <c r="H14" s="1"/>
    </row>
    <row r="15" spans="1:8" x14ac:dyDescent="0.3">
      <c r="A15" s="2">
        <v>14</v>
      </c>
      <c r="B15" s="1" t="s">
        <v>6</v>
      </c>
      <c r="C15" s="4">
        <v>150000</v>
      </c>
      <c r="D15" s="4">
        <v>150000</v>
      </c>
      <c r="E15" s="3">
        <v>45787</v>
      </c>
      <c r="F15" s="3">
        <v>47613</v>
      </c>
      <c r="G15" s="8">
        <v>11570</v>
      </c>
      <c r="H15" s="1"/>
    </row>
    <row r="16" spans="1:8" x14ac:dyDescent="0.3">
      <c r="A16" s="2">
        <v>15</v>
      </c>
      <c r="B16" s="1" t="s">
        <v>6</v>
      </c>
      <c r="C16" s="4">
        <v>650000</v>
      </c>
      <c r="D16" s="4">
        <v>650000</v>
      </c>
      <c r="E16" s="3">
        <v>45835</v>
      </c>
      <c r="F16" s="3">
        <v>47661</v>
      </c>
      <c r="G16" s="8">
        <v>50138</v>
      </c>
      <c r="H16" s="1"/>
    </row>
    <row r="17" spans="1:8" x14ac:dyDescent="0.3">
      <c r="A17" s="2">
        <v>16</v>
      </c>
      <c r="B17" s="1" t="s">
        <v>6</v>
      </c>
      <c r="C17" s="4">
        <v>135000</v>
      </c>
      <c r="D17" s="4">
        <v>135000</v>
      </c>
      <c r="E17" s="3">
        <v>45846</v>
      </c>
      <c r="F17" s="3">
        <v>47672</v>
      </c>
      <c r="G17" s="8">
        <v>10413</v>
      </c>
      <c r="H17" s="1"/>
    </row>
    <row r="18" spans="1:8" x14ac:dyDescent="0.3">
      <c r="A18" s="2">
        <v>17</v>
      </c>
      <c r="B18" s="1" t="s">
        <v>6</v>
      </c>
      <c r="C18" s="4">
        <v>540000</v>
      </c>
      <c r="D18" s="4">
        <v>540000</v>
      </c>
      <c r="E18" s="3">
        <v>46046</v>
      </c>
      <c r="F18" s="3">
        <v>47872</v>
      </c>
      <c r="G18" s="8">
        <v>41653</v>
      </c>
      <c r="H18" s="1"/>
    </row>
    <row r="19" spans="1:8" x14ac:dyDescent="0.3">
      <c r="A19" s="2">
        <v>18</v>
      </c>
      <c r="B19" s="1" t="s">
        <v>6</v>
      </c>
      <c r="C19" s="4">
        <v>100000</v>
      </c>
      <c r="D19" s="4">
        <v>100000</v>
      </c>
      <c r="E19" s="3">
        <v>45857</v>
      </c>
      <c r="F19" s="3">
        <v>47683</v>
      </c>
      <c r="G19" s="8">
        <v>7713</v>
      </c>
      <c r="H19" s="1"/>
    </row>
    <row r="20" spans="1:8" x14ac:dyDescent="0.3">
      <c r="A20" s="2">
        <v>19</v>
      </c>
      <c r="B20" s="1" t="s">
        <v>6</v>
      </c>
      <c r="C20" s="4">
        <v>180000</v>
      </c>
      <c r="D20" s="4">
        <v>180000</v>
      </c>
      <c r="E20" s="3">
        <v>45990</v>
      </c>
      <c r="F20" s="3">
        <v>47816</v>
      </c>
      <c r="G20" s="8">
        <v>13884</v>
      </c>
      <c r="H20" s="1" t="s">
        <v>48</v>
      </c>
    </row>
    <row r="21" spans="1:8" x14ac:dyDescent="0.3">
      <c r="A21" s="2">
        <v>20</v>
      </c>
      <c r="B21" s="14" t="s">
        <v>6</v>
      </c>
      <c r="C21" s="4">
        <v>200000</v>
      </c>
      <c r="D21" s="4">
        <v>200000</v>
      </c>
      <c r="E21" s="3">
        <v>46116</v>
      </c>
      <c r="F21" s="3">
        <v>47942</v>
      </c>
      <c r="G21" s="1">
        <v>15427</v>
      </c>
      <c r="H21" s="14" t="s">
        <v>48</v>
      </c>
    </row>
    <row r="22" spans="1:8" x14ac:dyDescent="0.3">
      <c r="A22" s="2">
        <v>21</v>
      </c>
      <c r="B22" s="14" t="s">
        <v>6</v>
      </c>
      <c r="C22" s="4">
        <v>450000</v>
      </c>
      <c r="D22" s="4">
        <v>450000</v>
      </c>
      <c r="E22" s="3">
        <v>46116</v>
      </c>
      <c r="F22" s="3">
        <v>47942</v>
      </c>
      <c r="G22" s="1">
        <v>34711</v>
      </c>
      <c r="H22" s="14" t="s">
        <v>48</v>
      </c>
    </row>
    <row r="23" spans="1:8" x14ac:dyDescent="0.3">
      <c r="A23" s="2">
        <v>22</v>
      </c>
      <c r="B23" s="14" t="s">
        <v>6</v>
      </c>
      <c r="C23" s="4">
        <v>450000</v>
      </c>
      <c r="D23" s="4">
        <v>450000</v>
      </c>
      <c r="E23" s="3">
        <v>46116</v>
      </c>
      <c r="F23" s="3">
        <v>47942</v>
      </c>
      <c r="G23" s="1">
        <v>34711</v>
      </c>
      <c r="H23" s="14" t="s">
        <v>48</v>
      </c>
    </row>
    <row r="24" spans="1:8" x14ac:dyDescent="0.3">
      <c r="A24" s="2">
        <v>23</v>
      </c>
      <c r="B24" s="14" t="s">
        <v>6</v>
      </c>
      <c r="C24" s="4">
        <v>450000</v>
      </c>
      <c r="D24" s="4">
        <v>450000</v>
      </c>
      <c r="E24" s="3">
        <v>46116</v>
      </c>
      <c r="F24" s="3">
        <v>47942</v>
      </c>
      <c r="G24" s="1">
        <v>34711</v>
      </c>
      <c r="H24" s="14" t="s">
        <v>48</v>
      </c>
    </row>
    <row r="25" spans="1:8" x14ac:dyDescent="0.3">
      <c r="A25" s="2">
        <v>24</v>
      </c>
      <c r="B25" s="14" t="s">
        <v>6</v>
      </c>
      <c r="C25" s="4">
        <v>450000</v>
      </c>
      <c r="D25" s="4">
        <v>450000</v>
      </c>
      <c r="E25" s="3">
        <v>46116</v>
      </c>
      <c r="F25" s="3">
        <v>47942</v>
      </c>
      <c r="G25" s="1">
        <v>34711</v>
      </c>
      <c r="H25" s="14" t="s">
        <v>48</v>
      </c>
    </row>
    <row r="26" spans="1:8" x14ac:dyDescent="0.3">
      <c r="A26" s="2">
        <v>25</v>
      </c>
      <c r="B26" s="14" t="s">
        <v>6</v>
      </c>
      <c r="C26" s="4">
        <v>150000</v>
      </c>
      <c r="D26" s="4">
        <v>150000</v>
      </c>
      <c r="E26" s="3">
        <v>46107</v>
      </c>
      <c r="F26" s="3">
        <v>47933</v>
      </c>
      <c r="G26" s="1">
        <v>11570</v>
      </c>
      <c r="H26" s="14" t="s">
        <v>48</v>
      </c>
    </row>
    <row r="27" spans="1:8" x14ac:dyDescent="0.3">
      <c r="A27" s="2">
        <v>26</v>
      </c>
      <c r="B27" s="14" t="s">
        <v>9</v>
      </c>
      <c r="C27" s="4">
        <v>900000</v>
      </c>
      <c r="D27" s="4">
        <v>900000</v>
      </c>
      <c r="E27" s="3">
        <v>45114</v>
      </c>
      <c r="F27" s="3">
        <v>46941</v>
      </c>
      <c r="G27" s="8">
        <v>66000</v>
      </c>
      <c r="H27" s="14" t="s">
        <v>48</v>
      </c>
    </row>
    <row r="28" spans="1:8" x14ac:dyDescent="0.3">
      <c r="A28" s="2">
        <v>27</v>
      </c>
      <c r="B28" s="1" t="s">
        <v>8</v>
      </c>
      <c r="C28" s="4"/>
      <c r="D28" s="4">
        <v>115923</v>
      </c>
      <c r="E28" s="3">
        <v>46095</v>
      </c>
      <c r="F28" s="3">
        <v>47921</v>
      </c>
      <c r="G28" s="8"/>
      <c r="H28" s="1"/>
    </row>
    <row r="29" spans="1:8" x14ac:dyDescent="0.3">
      <c r="A29" s="2">
        <v>28</v>
      </c>
      <c r="B29" s="1" t="s">
        <v>8</v>
      </c>
      <c r="C29" s="4"/>
      <c r="D29" s="4">
        <v>72452</v>
      </c>
      <c r="E29" s="3">
        <v>46022</v>
      </c>
      <c r="F29" s="3">
        <v>47848</v>
      </c>
      <c r="G29" s="8"/>
      <c r="H29" s="1"/>
    </row>
    <row r="30" spans="1:8" x14ac:dyDescent="0.3">
      <c r="A30" s="2">
        <v>29</v>
      </c>
      <c r="B30" s="1" t="s">
        <v>8</v>
      </c>
      <c r="C30" s="4"/>
      <c r="D30" s="4">
        <v>43471</v>
      </c>
      <c r="E30" s="3">
        <v>46025</v>
      </c>
      <c r="F30" s="3">
        <v>47851</v>
      </c>
      <c r="G30" s="8"/>
      <c r="H30" s="1"/>
    </row>
    <row r="31" spans="1:8" x14ac:dyDescent="0.3">
      <c r="A31" s="2">
        <v>30</v>
      </c>
      <c r="B31" s="1" t="s">
        <v>8</v>
      </c>
      <c r="C31" s="4"/>
      <c r="D31" s="4">
        <v>57961</v>
      </c>
      <c r="E31" s="3">
        <v>46387</v>
      </c>
      <c r="F31" s="3">
        <v>48213</v>
      </c>
      <c r="G31" s="8"/>
      <c r="H31" s="1"/>
    </row>
    <row r="32" spans="1:8" x14ac:dyDescent="0.3">
      <c r="A32" s="2">
        <v>31</v>
      </c>
      <c r="B32" s="1" t="s">
        <v>8</v>
      </c>
      <c r="C32" s="4"/>
      <c r="D32" s="4">
        <v>217355</v>
      </c>
      <c r="E32" s="3">
        <v>46022</v>
      </c>
      <c r="F32" s="3">
        <v>47848</v>
      </c>
      <c r="G32" s="8"/>
      <c r="H32" s="1"/>
    </row>
    <row r="33" spans="1:8" x14ac:dyDescent="0.3">
      <c r="A33" s="2">
        <v>32</v>
      </c>
      <c r="B33" s="14" t="s">
        <v>7</v>
      </c>
      <c r="C33" s="4"/>
      <c r="D33" s="4">
        <v>1000000</v>
      </c>
      <c r="E33" s="3">
        <v>44267</v>
      </c>
      <c r="F33" s="3">
        <v>48041</v>
      </c>
      <c r="G33" s="8"/>
      <c r="H33" s="14" t="s">
        <v>48</v>
      </c>
    </row>
    <row r="34" spans="1:8" x14ac:dyDescent="0.3">
      <c r="A34" s="2">
        <v>33</v>
      </c>
      <c r="B34" s="14" t="s">
        <v>7</v>
      </c>
      <c r="C34" s="4"/>
      <c r="D34" s="4">
        <v>1000000</v>
      </c>
      <c r="E34" s="3">
        <v>44267</v>
      </c>
      <c r="F34" s="3">
        <v>48041</v>
      </c>
      <c r="G34" s="8"/>
      <c r="H34" s="14" t="s">
        <v>48</v>
      </c>
    </row>
    <row r="35" spans="1:8" x14ac:dyDescent="0.3">
      <c r="A35" s="13">
        <v>34</v>
      </c>
      <c r="B35" s="18" t="s">
        <v>6</v>
      </c>
      <c r="C35" s="12">
        <v>150000</v>
      </c>
      <c r="D35" s="12">
        <v>150000</v>
      </c>
      <c r="E35" s="11">
        <v>46165</v>
      </c>
      <c r="F35" s="11">
        <v>47991</v>
      </c>
      <c r="H35" t="s">
        <v>48</v>
      </c>
    </row>
    <row r="36" spans="1:8" x14ac:dyDescent="0.3">
      <c r="A36" s="13">
        <v>35</v>
      </c>
      <c r="B36" s="18" t="s">
        <v>6</v>
      </c>
      <c r="C36" s="12">
        <v>700000</v>
      </c>
      <c r="D36" s="12">
        <v>700000</v>
      </c>
      <c r="E36" s="11">
        <v>46199</v>
      </c>
      <c r="F36" s="11">
        <v>46199</v>
      </c>
      <c r="G36">
        <v>60000</v>
      </c>
      <c r="H36" t="s">
        <v>48</v>
      </c>
    </row>
    <row r="37" spans="1:8" x14ac:dyDescent="0.3">
      <c r="A37" s="13">
        <v>34</v>
      </c>
      <c r="B37" s="18" t="s">
        <v>6</v>
      </c>
      <c r="C37" s="12">
        <v>100000</v>
      </c>
      <c r="D37" s="12">
        <v>100000</v>
      </c>
      <c r="E37" s="11">
        <v>46199</v>
      </c>
      <c r="F37" s="11">
        <v>46199</v>
      </c>
      <c r="H37" t="s">
        <v>56</v>
      </c>
    </row>
  </sheetData>
  <mergeCells count="1"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Sheet1</vt:lpstr>
      <vt:lpstr>Amma</vt:lpstr>
      <vt:lpstr>MIS</vt:lpstr>
      <vt:lpstr>Plan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eswaran</dc:creator>
  <cp:lastModifiedBy>Hariharan Eswaran</cp:lastModifiedBy>
  <dcterms:created xsi:type="dcterms:W3CDTF">2025-03-20T15:09:49Z</dcterms:created>
  <dcterms:modified xsi:type="dcterms:W3CDTF">2026-07-17T01:13:25Z</dcterms:modified>
</cp:coreProperties>
</file>